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Test Cases" sheetId="2" state="visible" r:id="rId4"/>
    <sheet name="Summary" sheetId="3" state="visible" r:id="rId5"/>
  </sheets>
  <definedNames>
    <definedName function="false" hidden="true" localSheetId="1" name="_xlnm._FilterDatabase" vbProcedure="false">'Test Cases'!$A$1:$J$54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<sst xmlns="http://schemas.openxmlformats.org/spreadsheetml/2006/main" count="535" uniqueCount="306">
  <si>
    <t xml:space="preserve">QA Quest — Manual Test Suite</t>
  </si>
  <si>
    <t xml:space="preserve">Scope: 53 manual test cases covering authentication, start screen, practice mode, interview pressure mode,</t>
  </si>
  <si>
    <t xml:space="preserve">results &amp; expertise estimation, history &amp; leaderboard, admin view, offline mode, security and UI/UX.</t>
  </si>
  <si>
    <t xml:space="preserve">How to run:</t>
  </si>
  <si>
    <t xml:space="preserve">1. Environment A (full): install Node.js, run `node server.js`, open http://localhost:3000.</t>
  </si>
  <si>
    <t xml:space="preserve">2. Environment B (offline): open index.html directly in a browser — needed for the Offline cases.</t>
  </si>
  <si>
    <t xml:space="preserve">3. Execute cases in order within each area; set Status (Pass/Fail/Blocked/Skipped) on the Test Cases sheet.</t>
  </si>
  <si>
    <t xml:space="preserve">4. Record evidence and defects in the Actual Result / Notes column.</t>
  </si>
  <si>
    <t xml:space="preserve">5. The Summary sheet computes totals and pass rate automatically.</t>
  </si>
  <si>
    <t xml:space="preserve">Automated coverage companion: tests/api.test.js (node --test) covers the REST API;</t>
  </si>
  <si>
    <t xml:space="preserve">tests/e2e/app.spec.js (Playwright) covers the main browser flows. Manual cases focus on what automation</t>
  </si>
  <si>
    <t xml:space="preserve">does not verify: visuals, audio, timing feel, multi-device sync, and exploratory security checks.</t>
  </si>
  <si>
    <t xml:space="preserve">TC ID</t>
  </si>
  <si>
    <t xml:space="preserve">Area</t>
  </si>
  <si>
    <t xml:space="preserve">Title</t>
  </si>
  <si>
    <t xml:space="preserve">Priority</t>
  </si>
  <si>
    <t xml:space="preserve">Type</t>
  </si>
  <si>
    <t xml:space="preserve">Preconditions</t>
  </si>
  <si>
    <t xml:space="preserve">Steps</t>
  </si>
  <si>
    <t xml:space="preserve">Expected Result</t>
  </si>
  <si>
    <t xml:space="preserve">Status</t>
  </si>
  <si>
    <t xml:space="preserve">Actual Result / Notes</t>
  </si>
  <si>
    <t xml:space="preserve">TC-001</t>
  </si>
  <si>
    <t xml:space="preserve">Auth</t>
  </si>
  <si>
    <t xml:space="preserve">Register a new account with valid data</t>
  </si>
  <si>
    <t xml:space="preserve">High</t>
  </si>
  <si>
    <t xml:space="preserve">Functional</t>
  </si>
  <si>
    <t xml:space="preserve">Backend running (node server.js); open http://localhost:3000</t>
  </si>
  <si>
    <t xml:space="preserve">1. On the auth screen click the Register tab
2. Enter a unique username (2–20 letters/digits/_)
3. Enter a password of 6+ characters
4. Click the submit button</t>
  </si>
  <si>
    <t xml:space="preserve">Account is created; user lands on the start screen; userbar shows the username and a Log out action</t>
  </si>
  <si>
    <t xml:space="preserve">Not Run</t>
  </si>
  <si>
    <t xml:space="preserve">TC-002</t>
  </si>
  <si>
    <t xml:space="preserve">Register rejects username shorter than 2 chars</t>
  </si>
  <si>
    <t xml:space="preserve">Negative</t>
  </si>
  <si>
    <t xml:space="preserve">Auth screen open, Register tab active</t>
  </si>
  <si>
    <t xml:space="preserve">1. Enter username "a"
2. Enter a valid password
3. Submit</t>
  </si>
  <si>
    <t xml:space="preserve">Inline error explains the username rule (2–20 letters, digits or _); no account created; user stays on auth screen</t>
  </si>
  <si>
    <t xml:space="preserve">TC-003</t>
  </si>
  <si>
    <t xml:space="preserve">Register rejects username with special characters</t>
  </si>
  <si>
    <t xml:space="preserve">Medium</t>
  </si>
  <si>
    <t xml:space="preserve">1. Enter username "bad name!"
2. Enter a valid password
3. Submit</t>
  </si>
  <si>
    <t xml:space="preserve">Inline error about allowed characters; no account created</t>
  </si>
  <si>
    <t xml:space="preserve">TC-004</t>
  </si>
  <si>
    <t xml:space="preserve">Register rejects password under 6 characters</t>
  </si>
  <si>
    <t xml:space="preserve">1. Enter a valid unique username
2. Enter password "12345"
3. Submit</t>
  </si>
  <si>
    <t xml:space="preserve">Inline error "Password must be at least 6 characters"; no account created</t>
  </si>
  <si>
    <t xml:space="preserve">TC-005</t>
  </si>
  <si>
    <t xml:space="preserve">Register rejects duplicate username (case-insensitive)</t>
  </si>
  <si>
    <t xml:space="preserve">An account "Tester1" already exists</t>
  </si>
  <si>
    <t xml:space="preserve">1. Open Register tab
2. Enter username "TESTER1"
3. Enter a valid password
4. Submit</t>
  </si>
  <si>
    <t xml:space="preserve">Error "That username is taken" (HTTP 409); no second account created</t>
  </si>
  <si>
    <t xml:space="preserve">TC-006</t>
  </si>
  <si>
    <t xml:space="preserve">Sign in with correct credentials</t>
  </si>
  <si>
    <t xml:space="preserve">Registered account exists</t>
  </si>
  <si>
    <t xml:space="preserve">1. On Sign In tab enter the username (any letter case)
2. Enter the correct password
3. Submit</t>
  </si>
  <si>
    <t xml:space="preserve">User reaches the start screen; userbar shows username; history and leaderboard load</t>
  </si>
  <si>
    <t xml:space="preserve">TC-007</t>
  </si>
  <si>
    <t xml:space="preserve">Sign in with wrong password shows error</t>
  </si>
  <si>
    <t xml:space="preserve">1. Enter the username
2. Enter an incorrect password
3. Submit</t>
  </si>
  <si>
    <t xml:space="preserve">Error "Wrong username or password"; user remains on auth screen; no session created</t>
  </si>
  <si>
    <t xml:space="preserve">TC-008</t>
  </si>
  <si>
    <t xml:space="preserve">Sign in with unknown username shows error</t>
  </si>
  <si>
    <t xml:space="preserve">Auth screen open</t>
  </si>
  <si>
    <t xml:space="preserve">1. Enter a username that was never registered
2. Enter any password
3. Submit</t>
  </si>
  <si>
    <t xml:space="preserve">Same generic error as wrong password (no user-enumeration hint)</t>
  </si>
  <si>
    <t xml:space="preserve">TC-009</t>
  </si>
  <si>
    <t xml:space="preserve">Play as Guest skips login</t>
  </si>
  <si>
    <t xml:space="preserve">1. Click "Play as Guest"</t>
  </si>
  <si>
    <t xml:space="preserve">Start screen opens; no userbar account info; scores will be kept in browser localStorage only</t>
  </si>
  <si>
    <t xml:space="preserve">TC-010</t>
  </si>
  <si>
    <t xml:space="preserve">Log out ends the session</t>
  </si>
  <si>
    <t xml:space="preserve">Signed in, on the start screen</t>
  </si>
  <si>
    <t xml:space="preserve">1. Click "Log out" in the userbar</t>
  </si>
  <si>
    <t xml:space="preserve">User returns to the auth screen; the old bearer token no longer works (reload does not restore the session)</t>
  </si>
  <si>
    <t xml:space="preserve">TC-011</t>
  </si>
  <si>
    <t xml:space="preserve">Session persists across page reload</t>
  </si>
  <si>
    <t xml:space="preserve">Signed in</t>
  </si>
  <si>
    <t xml:space="preserve">1. Reload the page (F5)</t>
  </si>
  <si>
    <t xml:space="preserve">User is still signed in and lands on the start screen without re-entering credentials</t>
  </si>
  <si>
    <t xml:space="preserve">TC-012</t>
  </si>
  <si>
    <t xml:space="preserve">Session expires after 30 days</t>
  </si>
  <si>
    <t xml:space="preserve">Low</t>
  </si>
  <si>
    <t xml:space="preserve">Signed-in session token older than 30 days (simulate by editing session ts in data.json)</t>
  </si>
  <si>
    <t xml:space="preserve">1. Reload the page with the expired token</t>
  </si>
  <si>
    <t xml:space="preserve">Session is rejected; user is shown the auth screen again</t>
  </si>
  <si>
    <t xml:space="preserve">TC-013</t>
  </si>
  <si>
    <t xml:space="preserve">Start screen</t>
  </si>
  <si>
    <t xml:space="preserve">Track buttons show live question counts</t>
  </si>
  <si>
    <t xml:space="preserve">Start screen open</t>
  </si>
  <si>
    <t xml:space="preserve">1. Inspect the Manual QA, Automation and All track buttons</t>
  </si>
  <si>
    <t xml:space="preserve">Each shows a non-zero question count; All equals Manual + Automation; the Questions chip matches the current selection</t>
  </si>
  <si>
    <t xml:space="preserve">TC-014</t>
  </si>
  <si>
    <t xml:space="preserve">Mode / track / level selection toggles correctly</t>
  </si>
  <si>
    <t xml:space="preserve">UI</t>
  </si>
  <si>
    <t xml:space="preserve">1. Click Interview Pressure mode
2. Click Automation track
3. Click Junior level</t>
  </si>
  <si>
    <t xml:space="preserve">Exactly one button per group is highlighted active at any time; question count updates to the filtered deck</t>
  </si>
  <si>
    <t xml:space="preserve">TC-015</t>
  </si>
  <si>
    <t xml:space="preserve">Level buttons show per-level question counts</t>
  </si>
  <si>
    <t xml:space="preserve">1. Inspect Junior/Middle/Senior/Expert buttons</t>
  </si>
  <si>
    <t xml:space="preserve">Each level shows its cumulative question count (level L covers all tiers up to L)</t>
  </si>
  <si>
    <t xml:space="preserve">TC-016</t>
  </si>
  <si>
    <t xml:space="preserve">Practice</t>
  </si>
  <si>
    <t xml:space="preserve">Start a practice quiz</t>
  </si>
  <si>
    <t xml:space="preserve">Start screen open, Practice mode + Manual track selected</t>
  </si>
  <si>
    <t xml:space="preserve">1. Click "Start the Quest"</t>
  </si>
  <si>
    <t xml:space="preserve">Quiz screen shows "Question 1 of N", category &amp; level pills, score 0, streak 0, progress bar at start</t>
  </si>
  <si>
    <t xml:space="preserve">TC-017</t>
  </si>
  <si>
    <t xml:space="preserve">Correct answer gives instant feedback and points</t>
  </si>
  <si>
    <t xml:space="preserve">Practice quiz running</t>
  </si>
  <si>
    <t xml:space="preserve">1. Answer a question correctly</t>
  </si>
  <si>
    <t xml:space="preserve">Chosen option marked ✓ green, explanation panel appears with the why, score increases, streak increments, Next button appears</t>
  </si>
  <si>
    <t xml:space="preserve">TC-018</t>
  </si>
  <si>
    <t xml:space="preserve">Wrong answer reveals the correct option</t>
  </si>
  <si>
    <t xml:space="preserve">1. Answer a question incorrectly</t>
  </si>
  <si>
    <t xml:space="preserve">Picked option marked ✗ red, correct option marked ✓ green, explanation shown, streak resets to 0, score unchanged</t>
  </si>
  <si>
    <t xml:space="preserve">TC-019</t>
  </si>
  <si>
    <t xml:space="preserve">Answer options lock after first pick</t>
  </si>
  <si>
    <t xml:space="preserve">Practice quiz running, question already answered</t>
  </si>
  <si>
    <t xml:space="preserve">1. Click another option after answering
2. Click the same option repeatedly</t>
  </si>
  <si>
    <t xml:space="preserve">Locked options ignore clicks; score/streak do not change; only Next advances</t>
  </si>
  <si>
    <t xml:space="preserve">TC-020</t>
  </si>
  <si>
    <t xml:space="preserve">Streak bonus increases score gain</t>
  </si>
  <si>
    <t xml:space="preserve">1. Answer 3+ questions correctly in a row
2. Watch score deltas</t>
  </si>
  <si>
    <t xml:space="preserve">From the 2nd consecutive correct answer, bonus points are added (up to +10); streak flame shows the count</t>
  </si>
  <si>
    <t xml:space="preserve">TC-021</t>
  </si>
  <si>
    <t xml:space="preserve">Next advances and progress bar grows</t>
  </si>
  <si>
    <t xml:space="preserve">Question answered</t>
  </si>
  <si>
    <t xml:space="preserve">1. Click Next</t>
  </si>
  <si>
    <t xml:space="preserve">Question counter increments, new question rendered, progress bar fills proportionally</t>
  </si>
  <si>
    <t xml:space="preserve">TC-022</t>
  </si>
  <si>
    <t xml:space="preserve">Main Menu returns to start mid-quiz</t>
  </si>
  <si>
    <t xml:space="preserve">1. Click "← Main Menu"</t>
  </si>
  <si>
    <t xml:space="preserve">Start screen shown; no attempt is saved to history (quiz was not finished)</t>
  </si>
  <si>
    <t xml:space="preserve">TC-023</t>
  </si>
  <si>
    <t xml:space="preserve">Finishing shows results with grade and tier breakdown</t>
  </si>
  <si>
    <t xml:space="preserve">1. Answer all questions to the end</t>
  </si>
  <si>
    <t xml:space="preserve">Results screen shows score ring, correct/total, best streak, estimated level (Junior/Middle/Senior/Expert), per-tier accuracy breakdown</t>
  </si>
  <si>
    <t xml:space="preserve">TC-024</t>
  </si>
  <si>
    <t xml:space="preserve">Review Answers lists every missed question</t>
  </si>
  <si>
    <t xml:space="preserve">On the results screen</t>
  </si>
  <si>
    <t xml:space="preserve">1. Click "Review Answers"</t>
  </si>
  <si>
    <t xml:space="preserve">A list of all questions with the user's pick vs the correct answer; wrong ones clearly marked</t>
  </si>
  <si>
    <t xml:space="preserve">TC-025</t>
  </si>
  <si>
    <t xml:space="preserve">Play Again restarts with a reshuffled deck</t>
  </si>
  <si>
    <t xml:space="preserve">1. Click "Play Again"</t>
  </si>
  <si>
    <t xml:space="preserve">New quiz starts at question 1 with score/streak reset; question order differs (shuffled)</t>
  </si>
  <si>
    <t xml:space="preserve">TC-026</t>
  </si>
  <si>
    <t xml:space="preserve">Interview</t>
  </si>
  <si>
    <t xml:space="preserve">Interview shows countdown and interviewer, hides feedback</t>
  </si>
  <si>
    <t xml:space="preserve">Interview Pressure mode selected</t>
  </si>
  <si>
    <t xml:space="preserve">1. Start the interview
2. Answer any question</t>
  </si>
  <si>
    <t xml:space="preserve">Per-question countdown visible, interviewer panel types remarks, recording clock runs; NO correct/incorrect feedback, explanation or score shown</t>
  </si>
  <si>
    <t xml:space="preserve">TC-027</t>
  </si>
  <si>
    <t xml:space="preserve">Questions escalate in difficulty</t>
  </si>
  <si>
    <t xml:space="preserve">Interview running (Full Scan)</t>
  </si>
  <si>
    <t xml:space="preserve">1. Observe the level pill across the interview</t>
  </si>
  <si>
    <t xml:space="preserve">Question tiers are ordered from easiest to hardest (junior → expert)</t>
  </si>
  <si>
    <t xml:space="preserve">TC-028</t>
  </si>
  <si>
    <t xml:space="preserve">Question timer expiry counts as timeout</t>
  </si>
  <si>
    <t xml:space="preserve">Interview running</t>
  </si>
  <si>
    <t xml:space="preserve">1. Let the countdown reach 0 without answering</t>
  </si>
  <si>
    <t xml:space="preserve">Question is marked as a timeout, interview auto-advances, timeout count appears in the final composure line</t>
  </si>
  <si>
    <t xml:space="preserve">TC-029</t>
  </si>
  <si>
    <t xml:space="preserve">Low-time warning effects</t>
  </si>
  <si>
    <t xml:space="preserve">Interview running, sound on</t>
  </si>
  <si>
    <t xml:space="preserve">1. Wait until the countdown enters its final seconds</t>
  </si>
  <si>
    <t xml:space="preserve">Red vignette pulses at screen edges and a ticking sound plays (after first user interaction, per autoplay policy)</t>
  </si>
  <si>
    <t xml:space="preserve">TC-030</t>
  </si>
  <si>
    <t xml:space="preserve">Look-away detection is recorded</t>
  </si>
  <si>
    <t xml:space="preserve">1. Switch to another browser tab for a few seconds
2. Return and finish the interview</t>
  </si>
  <si>
    <t xml:space="preserve">Interviewer reacts to the look-away; final verdict line reports the number of look-aways</t>
  </si>
  <si>
    <t xml:space="preserve">TC-031</t>
  </si>
  <si>
    <t xml:space="preserve">Mute button stops interview audio</t>
  </si>
  <si>
    <t xml:space="preserve">1. Click the 🔊 button in the HUD</t>
  </si>
  <si>
    <t xml:space="preserve">Icon toggles to 🔇 and ticking/buzzer sounds stop; clicking again re-enables audio</t>
  </si>
  <si>
    <t xml:space="preserve">TC-032</t>
  </si>
  <si>
    <t xml:space="preserve">Junior interview ends with a hiring decision</t>
  </si>
  <si>
    <t xml:space="preserve">Interview mode + Junior level selected</t>
  </si>
  <si>
    <t xml:space="preserve">1. Complete the interview</t>
  </si>
  <si>
    <t xml:space="preserve">Results title is "Hiring Decision" with ✅ HIRED or ❌ NOT HIRED for the Junior position, plus a composure summary (timeouts, look-aways, duration)</t>
  </si>
  <si>
    <t xml:space="preserve">TC-033</t>
  </si>
  <si>
    <t xml:space="preserve">Pass bar is stricter than practice (70%)</t>
  </si>
  <si>
    <t xml:space="preserve">Interview finished with a tier at 60–69% accuracy</t>
  </si>
  <si>
    <t xml:space="preserve">1. Compare the tier breakdown against practice mode</t>
  </si>
  <si>
    <t xml:space="preserve">A tier is only cleared at ≥70% in interview mode (vs ≥60% in practice); verdict reflects this</t>
  </si>
  <si>
    <t xml:space="preserve">TC-034</t>
  </si>
  <si>
    <t xml:space="preserve">Expertise requires passing every lower tier first</t>
  </si>
  <si>
    <t xml:space="preserve">Interview or practice finished with e.g. senior tier passed but middle failed</t>
  </si>
  <si>
    <t xml:space="preserve">1. Check the estimated level on the results screen</t>
  </si>
  <si>
    <t xml:space="preserve">Estimated level stops at the first failed tier (fundamentals-first); higher-tier success alone does not raise the level</t>
  </si>
  <si>
    <t xml:space="preserve">TC-035</t>
  </si>
  <si>
    <t xml:space="preserve">History</t>
  </si>
  <si>
    <t xml:space="preserve">Finished attempt is saved to account history</t>
  </si>
  <si>
    <t xml:space="preserve">Signed in; quiz finished</t>
  </si>
  <si>
    <t xml:space="preserve">1. Return to the main menu
2. Check the Score History panel</t>
  </si>
  <si>
    <t xml:space="preserve">New entry tagged with track, mode, target level, hire outcome and estimated level; best score summary updates</t>
  </si>
  <si>
    <t xml:space="preserve">TC-036</t>
  </si>
  <si>
    <t xml:space="preserve">Guest history persists in localStorage</t>
  </si>
  <si>
    <t xml:space="preserve">Playing as guest; quiz finished</t>
  </si>
  <si>
    <t xml:space="preserve">1. Reload the page
2. Enter guest mode again</t>
  </si>
  <si>
    <t xml:space="preserve">History entries are still listed (browser localStorage), as long as the same browser profile is used</t>
  </si>
  <si>
    <t xml:space="preserve">TC-037</t>
  </si>
  <si>
    <t xml:space="preserve">Account history syncs across devices/browsers</t>
  </si>
  <si>
    <t xml:space="preserve">Account has attempts; second browser available</t>
  </si>
  <si>
    <t xml:space="preserve">1. Sign in with the same account in another browser
2. Open the history panel</t>
  </si>
  <si>
    <t xml:space="preserve">Same attempts are listed (server-side storage), unlike guest mode</t>
  </si>
  <si>
    <t xml:space="preserve">TC-038</t>
  </si>
  <si>
    <t xml:space="preserve">Clear wipes only my history</t>
  </si>
  <si>
    <t xml:space="preserve">Two accounts A and B both have attempts</t>
  </si>
  <si>
    <t xml:space="preserve">1. Sign in as A
2. Click Clear in the history panel and confirm</t>
  </si>
  <si>
    <t xml:space="preserve">A's history becomes empty; B's history is untouched; leaderboard best for A disappears/resets</t>
  </si>
  <si>
    <t xml:space="preserve">TC-039</t>
  </si>
  <si>
    <t xml:space="preserve">Leaderboard</t>
  </si>
  <si>
    <t xml:space="preserve">Leaderboard shows best score per user, sorted</t>
  </si>
  <si>
    <t xml:space="preserve">Several accounts have finished quizzes</t>
  </si>
  <si>
    <t xml:space="preserve">1. Open the start screen leaderboard</t>
  </si>
  <si>
    <t xml:space="preserve">Each user appears once with their best score; rows sorted descending; max 20 rows</t>
  </si>
  <si>
    <t xml:space="preserve">TC-040</t>
  </si>
  <si>
    <t xml:space="preserve">Guest attempts never reach the leaderboard</t>
  </si>
  <si>
    <t xml:space="preserve">Guest finishes a quiz with a high score</t>
  </si>
  <si>
    <t xml:space="preserve">1. Check the leaderboard from a signed-in account</t>
  </si>
  <si>
    <t xml:space="preserve">The guest run is absent — only registered users' synced attempts are ranked</t>
  </si>
  <si>
    <t xml:space="preserve">TC-041</t>
  </si>
  <si>
    <t xml:space="preserve">Admin</t>
  </si>
  <si>
    <t xml:space="preserve">'admin' username receives the admin role</t>
  </si>
  <si>
    <t xml:space="preserve">Username "admin" not yet registered</t>
  </si>
  <si>
    <t xml:space="preserve">1. Register with username "admin"
2. Check the userbar</t>
  </si>
  <si>
    <t xml:space="preserve">Role badge/admin entry point (🗂️ Applicants) is visible for this account only</t>
  </si>
  <si>
    <t xml:space="preserve">TC-042</t>
  </si>
  <si>
    <t xml:space="preserve">Applicants view lists all users' attempts</t>
  </si>
  <si>
    <t xml:space="preserve">Signed in as admin; other users have attempts</t>
  </si>
  <si>
    <t xml:space="preserve">1. Open the Applicants view</t>
  </si>
  <si>
    <t xml:space="preserve">Every user's attempts are listed with hire/no-hire outcomes and user count; newest first; capped at the latest 500</t>
  </si>
  <si>
    <t xml:space="preserve">TC-043</t>
  </si>
  <si>
    <t xml:space="preserve">Non-admin cannot access admin data</t>
  </si>
  <si>
    <t xml:space="preserve">Security</t>
  </si>
  <si>
    <t xml:space="preserve">Signed in as a regular user</t>
  </si>
  <si>
    <t xml:space="preserve">1. Call GET /api/admin/results with the user's bearer token (browser devtools or curl)</t>
  </si>
  <si>
    <t xml:space="preserve">HTTP 403 "Admins only"; no data leaks; anonymous request gets 401</t>
  </si>
  <si>
    <t xml:space="preserve">TC-044</t>
  </si>
  <si>
    <t xml:space="preserve">Offline</t>
  </si>
  <si>
    <t xml:space="preserve">App runs fully offline from index.html</t>
  </si>
  <si>
    <t xml:space="preserve">Backend NOT running</t>
  </si>
  <si>
    <t xml:space="preserve">1. Open index.html directly (file:// or static hosting)
2. Play a full quiz</t>
  </si>
  <si>
    <t xml:space="preserve">App detects no server and runs in local mode: no auth screen/leaderboard/admin; quiz works; history kept in localStorage</t>
  </si>
  <si>
    <t xml:space="preserve">TC-045</t>
  </si>
  <si>
    <t xml:space="preserve">Graceful behavior if server dies mid-session</t>
  </si>
  <si>
    <t xml:space="preserve">Signed in with backend running</t>
  </si>
  <si>
    <t xml:space="preserve">1. Stop the server
2. Finish a quiz</t>
  </si>
  <si>
    <t xml:space="preserve">App does not crash; attempt save fails silently or falls back locally; UI remains usable</t>
  </si>
  <si>
    <t xml:space="preserve">TC-046</t>
  </si>
  <si>
    <t xml:space="preserve">Passwords are never stored in plain text</t>
  </si>
  <si>
    <t xml:space="preserve">At least one registered user</t>
  </si>
  <si>
    <t xml:space="preserve">1. Open data.json next to server.js
2. Inspect the user records</t>
  </si>
  <si>
    <t xml:space="preserve">Only scrypt hash + salt are stored; the plain password appears nowhere</t>
  </si>
  <si>
    <t xml:space="preserve">TC-047</t>
  </si>
  <si>
    <t xml:space="preserve">Attempt payloads are sanitized server-side</t>
  </si>
  <si>
    <t xml:space="preserve">Valid bearer token available</t>
  </si>
  <si>
    <t xml:space="preserve">1. POST /api/attempts with score=-50, pct=999, track="hacker", hired="yes", 100-char id
2. Read back via GET /api/history</t>
  </si>
  <si>
    <t xml:space="preserve">Stored entry is clamped/defaulted: score 0, pct 100, track "manual", hired null, id truncated to 40 chars — no junk data reaches the leaderboard</t>
  </si>
  <si>
    <t xml:space="preserve">TC-048</t>
  </si>
  <si>
    <t xml:space="preserve">Oversized request bodies are rejected</t>
  </si>
  <si>
    <t xml:space="preserve">Backend running</t>
  </si>
  <si>
    <t xml:space="preserve">1. POST &gt;100 KB of JSON to /api/register</t>
  </si>
  <si>
    <t xml:space="preserve">Server rejects the request (connection destroyed / 400); process stays alive</t>
  </si>
  <si>
    <t xml:space="preserve">TC-049</t>
  </si>
  <si>
    <t xml:space="preserve">Malformed JSON returns 400, not a crash</t>
  </si>
  <si>
    <t xml:space="preserve">1. POST body "{not json" to /api/login with Content-Type: application/json</t>
  </si>
  <si>
    <t xml:space="preserve">HTTP 400 with an error message; server continues serving other requests</t>
  </si>
  <si>
    <t xml:space="preserve">TC-050</t>
  </si>
  <si>
    <t xml:space="preserve">XSS: username is rendered safely</t>
  </si>
  <si>
    <t xml:space="preserve">Registration allows only [A-Za-z0-9_], but verify defense in depth</t>
  </si>
  <si>
    <t xml:space="preserve">1. Attempt to register "&lt;script&gt;alert(1)&lt;/script&gt;"
2. If rejected, inject a crafted attempt id via API and view history/admin</t>
  </si>
  <si>
    <t xml:space="preserve">Registration rejects the name; any user-influenced strings shown in history/leaderboard/admin render as text, never execute</t>
  </si>
  <si>
    <t xml:space="preserve">TC-051</t>
  </si>
  <si>
    <t xml:space="preserve">Layout is usable at 375px mobile width</t>
  </si>
  <si>
    <t xml:space="preserve">Any screen open</t>
  </si>
  <si>
    <t xml:space="preserve">1. Set viewport to 375×667 (devtools device mode)
2. Walk through auth → start → quiz → results</t>
  </si>
  <si>
    <t xml:space="preserve">No horizontal scroll, buttons reachable and tappable, text readable (media query at 560px applies)</t>
  </si>
  <si>
    <t xml:space="preserve">TC-052</t>
  </si>
  <si>
    <t xml:space="preserve">Sound starts only after first user gesture</t>
  </si>
  <si>
    <t xml:space="preserve">Fresh page load, interview mode</t>
  </si>
  <si>
    <t xml:space="preserve">1. Start an interview without clicking anything else
2. Interact once and continue</t>
  </si>
  <si>
    <t xml:space="preserve">No audio (and no console errors) before the first click; ticking/cues work afterwards — matches browser autoplay policy</t>
  </si>
  <si>
    <t xml:space="preserve">TC-053</t>
  </si>
  <si>
    <t xml:space="preserve">Confetti/celebration on a strong result</t>
  </si>
  <si>
    <t xml:space="preserve">Finish a quiz with a high score / HIRED verdict</t>
  </si>
  <si>
    <t xml:space="preserve">1. Observe the results screen</t>
  </si>
  <si>
    <t xml:space="preserve">Celebration effect plays; reduced or absent on a failing result</t>
  </si>
  <si>
    <t xml:space="preserve">QA Quest — Manual Test Run Summary</t>
  </si>
  <si>
    <t xml:space="preserve">Update the Status column on the Test Cases sheet; all figures below recalculate automatically.</t>
  </si>
  <si>
    <t xml:space="preserve">Metric</t>
  </si>
  <si>
    <t xml:space="preserve">Count</t>
  </si>
  <si>
    <t xml:space="preserve">Total test cases</t>
  </si>
  <si>
    <t xml:space="preserve">Passed</t>
  </si>
  <si>
    <t xml:space="preserve">Failed</t>
  </si>
  <si>
    <t xml:space="preserve">Blocked</t>
  </si>
  <si>
    <t xml:space="preserve">Skipped</t>
  </si>
  <si>
    <t xml:space="preserve">Not run</t>
  </si>
  <si>
    <t xml:space="preserve">Executed</t>
  </si>
  <si>
    <t xml:space="preserve">Pass rate (of executed)</t>
  </si>
  <si>
    <t xml:space="preserve">By area</t>
  </si>
  <si>
    <t xml:space="preserve">Total</t>
  </si>
  <si>
    <t xml:space="preserve">Pass</t>
  </si>
  <si>
    <t xml:space="preserve">Fail</t>
  </si>
  <si>
    <t xml:space="preserve">By priority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</si>
</sst>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BF8F00"/>
      <name val="Arial"/>
      <family val="0"/>
      <charset val="1"/>
    </font>
    <font>
      <b val="true"/>
      <sz val="10"/>
      <color rgb="FF548235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6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6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0B0B0"/>
      <rgbColor rgb="FF808080"/>
      <rgbColor rgb="FF9999FF"/>
      <rgbColor rgb="FF993366"/>
      <rgbColor rgb="FFF2F6F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3"/>
    <col collapsed="false" customWidth="true" hidden="false" outlineLevel="0" max="3" min="3" style="0" width="38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30"/>
    <col collapsed="false" customWidth="true" hidden="false" outlineLevel="0" max="7" min="7" style="0" width="46"/>
    <col collapsed="false" customWidth="true" hidden="false" outlineLevel="0" max="8" min="8" style="0" width="50"/>
    <col collapsed="false" customWidth="true" hidden="false" outlineLevel="0" max="9" min="9" style="0" width="12"/>
    <col collapsed="false" customWidth="true" hidden="false" outlineLevel="0" max="10" min="10" style="0" width="24"/>
  </cols>
  <sheetData>
    <row r="1" customFormat="false" ht="15" hidden="false" customHeight="false" outlineLevel="0" collapsed="false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</row>
    <row r="2" customFormat="false" ht="46.25" hidden="false" customHeight="false" outlineLevel="0" collapsed="false">
      <c r="A2" s="5" t="s">
        <v>22</v>
      </c>
      <c r="B2" s="6" t="s">
        <v>23</v>
      </c>
      <c r="C2" s="6" t="s">
        <v>24</v>
      </c>
      <c r="D2" s="7" t="s">
        <v>25</v>
      </c>
      <c r="E2" s="6" t="s">
        <v>26</v>
      </c>
      <c r="F2" s="6" t="s">
        <v>27</v>
      </c>
      <c r="G2" s="6" t="s">
        <v>28</v>
      </c>
      <c r="H2" s="6" t="s">
        <v>29</v>
      </c>
      <c r="I2" s="6" t="s">
        <v>30</v>
      </c>
      <c r="J2" s="6"/>
    </row>
    <row r="3" customFormat="false" ht="35.05" hidden="false" customHeight="false" outlineLevel="0" collapsed="false">
      <c r="A3" s="8" t="s">
        <v>31</v>
      </c>
      <c r="B3" s="9" t="s">
        <v>23</v>
      </c>
      <c r="C3" s="9" t="s">
        <v>32</v>
      </c>
      <c r="D3" s="10" t="s">
        <v>25</v>
      </c>
      <c r="E3" s="9" t="s">
        <v>33</v>
      </c>
      <c r="F3" s="9" t="s">
        <v>34</v>
      </c>
      <c r="G3" s="9" t="s">
        <v>35</v>
      </c>
      <c r="H3" s="9" t="s">
        <v>36</v>
      </c>
      <c r="I3" s="9" t="s">
        <v>30</v>
      </c>
      <c r="J3" s="9"/>
    </row>
    <row r="4" customFormat="false" ht="35.05" hidden="false" customHeight="false" outlineLevel="0" collapsed="false">
      <c r="A4" s="5" t="s">
        <v>37</v>
      </c>
      <c r="B4" s="6" t="s">
        <v>23</v>
      </c>
      <c r="C4" s="6" t="s">
        <v>38</v>
      </c>
      <c r="D4" s="11" t="s">
        <v>39</v>
      </c>
      <c r="E4" s="6" t="s">
        <v>33</v>
      </c>
      <c r="F4" s="6" t="s">
        <v>34</v>
      </c>
      <c r="G4" s="6" t="s">
        <v>40</v>
      </c>
      <c r="H4" s="6" t="s">
        <v>41</v>
      </c>
      <c r="I4" s="6" t="s">
        <v>30</v>
      </c>
      <c r="J4" s="6"/>
    </row>
    <row r="5" customFormat="false" ht="35.05" hidden="false" customHeight="false" outlineLevel="0" collapsed="false">
      <c r="A5" s="8" t="s">
        <v>42</v>
      </c>
      <c r="B5" s="9" t="s">
        <v>23</v>
      </c>
      <c r="C5" s="9" t="s">
        <v>43</v>
      </c>
      <c r="D5" s="10" t="s">
        <v>25</v>
      </c>
      <c r="E5" s="9" t="s">
        <v>33</v>
      </c>
      <c r="F5" s="9" t="s">
        <v>34</v>
      </c>
      <c r="G5" s="9" t="s">
        <v>44</v>
      </c>
      <c r="H5" s="9" t="s">
        <v>45</v>
      </c>
      <c r="I5" s="9" t="s">
        <v>30</v>
      </c>
      <c r="J5" s="9"/>
    </row>
    <row r="6" customFormat="false" ht="46.25" hidden="false" customHeight="false" outlineLevel="0" collapsed="false">
      <c r="A6" s="5" t="s">
        <v>46</v>
      </c>
      <c r="B6" s="6" t="s">
        <v>23</v>
      </c>
      <c r="C6" s="6" t="s">
        <v>47</v>
      </c>
      <c r="D6" s="7" t="s">
        <v>25</v>
      </c>
      <c r="E6" s="6" t="s">
        <v>33</v>
      </c>
      <c r="F6" s="6" t="s">
        <v>48</v>
      </c>
      <c r="G6" s="6" t="s">
        <v>49</v>
      </c>
      <c r="H6" s="6" t="s">
        <v>50</v>
      </c>
      <c r="I6" s="6" t="s">
        <v>30</v>
      </c>
      <c r="J6" s="6"/>
    </row>
    <row r="7" customFormat="false" ht="35.05" hidden="false" customHeight="false" outlineLevel="0" collapsed="false">
      <c r="A7" s="8" t="s">
        <v>51</v>
      </c>
      <c r="B7" s="9" t="s">
        <v>23</v>
      </c>
      <c r="C7" s="9" t="s">
        <v>52</v>
      </c>
      <c r="D7" s="10" t="s">
        <v>25</v>
      </c>
      <c r="E7" s="9" t="s">
        <v>26</v>
      </c>
      <c r="F7" s="9" t="s">
        <v>53</v>
      </c>
      <c r="G7" s="9" t="s">
        <v>54</v>
      </c>
      <c r="H7" s="9" t="s">
        <v>55</v>
      </c>
      <c r="I7" s="9" t="s">
        <v>30</v>
      </c>
      <c r="J7" s="9"/>
    </row>
    <row r="8" customFormat="false" ht="35.05" hidden="false" customHeight="false" outlineLevel="0" collapsed="false">
      <c r="A8" s="5" t="s">
        <v>56</v>
      </c>
      <c r="B8" s="6" t="s">
        <v>23</v>
      </c>
      <c r="C8" s="6" t="s">
        <v>57</v>
      </c>
      <c r="D8" s="7" t="s">
        <v>25</v>
      </c>
      <c r="E8" s="6" t="s">
        <v>33</v>
      </c>
      <c r="F8" s="6" t="s">
        <v>53</v>
      </c>
      <c r="G8" s="6" t="s">
        <v>58</v>
      </c>
      <c r="H8" s="6" t="s">
        <v>59</v>
      </c>
      <c r="I8" s="6" t="s">
        <v>30</v>
      </c>
      <c r="J8" s="6"/>
    </row>
    <row r="9" customFormat="false" ht="35.05" hidden="false" customHeight="false" outlineLevel="0" collapsed="false">
      <c r="A9" s="8" t="s">
        <v>60</v>
      </c>
      <c r="B9" s="9" t="s">
        <v>23</v>
      </c>
      <c r="C9" s="9" t="s">
        <v>61</v>
      </c>
      <c r="D9" s="12" t="s">
        <v>39</v>
      </c>
      <c r="E9" s="9" t="s">
        <v>33</v>
      </c>
      <c r="F9" s="9" t="s">
        <v>62</v>
      </c>
      <c r="G9" s="9" t="s">
        <v>63</v>
      </c>
      <c r="H9" s="9" t="s">
        <v>64</v>
      </c>
      <c r="I9" s="9" t="s">
        <v>30</v>
      </c>
      <c r="J9" s="9"/>
    </row>
    <row r="10" customFormat="false" ht="23.85" hidden="false" customHeight="false" outlineLevel="0" collapsed="false">
      <c r="A10" s="5" t="s">
        <v>65</v>
      </c>
      <c r="B10" s="6" t="s">
        <v>23</v>
      </c>
      <c r="C10" s="6" t="s">
        <v>66</v>
      </c>
      <c r="D10" s="7" t="s">
        <v>25</v>
      </c>
      <c r="E10" s="6" t="s">
        <v>26</v>
      </c>
      <c r="F10" s="6" t="s">
        <v>62</v>
      </c>
      <c r="G10" s="6" t="s">
        <v>67</v>
      </c>
      <c r="H10" s="6" t="s">
        <v>68</v>
      </c>
      <c r="I10" s="6" t="s">
        <v>30</v>
      </c>
      <c r="J10" s="6"/>
    </row>
    <row r="11" customFormat="false" ht="23.85" hidden="false" customHeight="false" outlineLevel="0" collapsed="false">
      <c r="A11" s="8" t="s">
        <v>69</v>
      </c>
      <c r="B11" s="9" t="s">
        <v>23</v>
      </c>
      <c r="C11" s="9" t="s">
        <v>70</v>
      </c>
      <c r="D11" s="10" t="s">
        <v>25</v>
      </c>
      <c r="E11" s="9" t="s">
        <v>26</v>
      </c>
      <c r="F11" s="9" t="s">
        <v>71</v>
      </c>
      <c r="G11" s="9" t="s">
        <v>72</v>
      </c>
      <c r="H11" s="9" t="s">
        <v>73</v>
      </c>
      <c r="I11" s="9" t="s">
        <v>30</v>
      </c>
      <c r="J11" s="9"/>
    </row>
    <row r="12" customFormat="false" ht="23.85" hidden="false" customHeight="false" outlineLevel="0" collapsed="false">
      <c r="A12" s="5" t="s">
        <v>74</v>
      </c>
      <c r="B12" s="6" t="s">
        <v>23</v>
      </c>
      <c r="C12" s="6" t="s">
        <v>75</v>
      </c>
      <c r="D12" s="11" t="s">
        <v>39</v>
      </c>
      <c r="E12" s="6" t="s">
        <v>26</v>
      </c>
      <c r="F12" s="6" t="s">
        <v>76</v>
      </c>
      <c r="G12" s="6" t="s">
        <v>77</v>
      </c>
      <c r="H12" s="6" t="s">
        <v>78</v>
      </c>
      <c r="I12" s="6" t="s">
        <v>30</v>
      </c>
      <c r="J12" s="6"/>
    </row>
    <row r="13" customFormat="false" ht="35.05" hidden="false" customHeight="false" outlineLevel="0" collapsed="false">
      <c r="A13" s="8" t="s">
        <v>79</v>
      </c>
      <c r="B13" s="9" t="s">
        <v>23</v>
      </c>
      <c r="C13" s="9" t="s">
        <v>80</v>
      </c>
      <c r="D13" s="13" t="s">
        <v>81</v>
      </c>
      <c r="E13" s="9" t="s">
        <v>26</v>
      </c>
      <c r="F13" s="9" t="s">
        <v>82</v>
      </c>
      <c r="G13" s="9" t="s">
        <v>83</v>
      </c>
      <c r="H13" s="9" t="s">
        <v>84</v>
      </c>
      <c r="I13" s="9" t="s">
        <v>30</v>
      </c>
      <c r="J13" s="9"/>
    </row>
    <row r="14" customFormat="false" ht="23.85" hidden="false" customHeight="false" outlineLevel="0" collapsed="false">
      <c r="A14" s="5" t="s">
        <v>85</v>
      </c>
      <c r="B14" s="6" t="s">
        <v>86</v>
      </c>
      <c r="C14" s="6" t="s">
        <v>87</v>
      </c>
      <c r="D14" s="11" t="s">
        <v>39</v>
      </c>
      <c r="E14" s="6" t="s">
        <v>26</v>
      </c>
      <c r="F14" s="6" t="s">
        <v>88</v>
      </c>
      <c r="G14" s="6" t="s">
        <v>89</v>
      </c>
      <c r="H14" s="6" t="s">
        <v>90</v>
      </c>
      <c r="I14" s="6" t="s">
        <v>30</v>
      </c>
      <c r="J14" s="6"/>
    </row>
    <row r="15" customFormat="false" ht="35.05" hidden="false" customHeight="false" outlineLevel="0" collapsed="false">
      <c r="A15" s="8" t="s">
        <v>91</v>
      </c>
      <c r="B15" s="9" t="s">
        <v>86</v>
      </c>
      <c r="C15" s="9" t="s">
        <v>92</v>
      </c>
      <c r="D15" s="10" t="s">
        <v>25</v>
      </c>
      <c r="E15" s="9" t="s">
        <v>93</v>
      </c>
      <c r="F15" s="9" t="s">
        <v>88</v>
      </c>
      <c r="G15" s="9" t="s">
        <v>94</v>
      </c>
      <c r="H15" s="9" t="s">
        <v>95</v>
      </c>
      <c r="I15" s="9" t="s">
        <v>30</v>
      </c>
      <c r="J15" s="9"/>
    </row>
    <row r="16" customFormat="false" ht="23.85" hidden="false" customHeight="false" outlineLevel="0" collapsed="false">
      <c r="A16" s="5" t="s">
        <v>96</v>
      </c>
      <c r="B16" s="6" t="s">
        <v>86</v>
      </c>
      <c r="C16" s="6" t="s">
        <v>97</v>
      </c>
      <c r="D16" s="14" t="s">
        <v>81</v>
      </c>
      <c r="E16" s="6" t="s">
        <v>93</v>
      </c>
      <c r="F16" s="6" t="s">
        <v>88</v>
      </c>
      <c r="G16" s="6" t="s">
        <v>98</v>
      </c>
      <c r="H16" s="6" t="s">
        <v>99</v>
      </c>
      <c r="I16" s="6" t="s">
        <v>30</v>
      </c>
      <c r="J16" s="6"/>
    </row>
    <row r="17" customFormat="false" ht="23.85" hidden="false" customHeight="false" outlineLevel="0" collapsed="false">
      <c r="A17" s="8" t="s">
        <v>100</v>
      </c>
      <c r="B17" s="9" t="s">
        <v>101</v>
      </c>
      <c r="C17" s="9" t="s">
        <v>102</v>
      </c>
      <c r="D17" s="10" t="s">
        <v>25</v>
      </c>
      <c r="E17" s="9" t="s">
        <v>26</v>
      </c>
      <c r="F17" s="9" t="s">
        <v>103</v>
      </c>
      <c r="G17" s="9" t="s">
        <v>104</v>
      </c>
      <c r="H17" s="9" t="s">
        <v>105</v>
      </c>
      <c r="I17" s="9" t="s">
        <v>30</v>
      </c>
      <c r="J17" s="9"/>
    </row>
    <row r="18" customFormat="false" ht="35.05" hidden="false" customHeight="false" outlineLevel="0" collapsed="false">
      <c r="A18" s="5" t="s">
        <v>106</v>
      </c>
      <c r="B18" s="6" t="s">
        <v>101</v>
      </c>
      <c r="C18" s="6" t="s">
        <v>107</v>
      </c>
      <c r="D18" s="7" t="s">
        <v>25</v>
      </c>
      <c r="E18" s="6" t="s">
        <v>26</v>
      </c>
      <c r="F18" s="6" t="s">
        <v>108</v>
      </c>
      <c r="G18" s="6" t="s">
        <v>109</v>
      </c>
      <c r="H18" s="6" t="s">
        <v>110</v>
      </c>
      <c r="I18" s="6" t="s">
        <v>30</v>
      </c>
      <c r="J18" s="6"/>
    </row>
    <row r="19" customFormat="false" ht="23.85" hidden="false" customHeight="false" outlineLevel="0" collapsed="false">
      <c r="A19" s="8" t="s">
        <v>111</v>
      </c>
      <c r="B19" s="9" t="s">
        <v>101</v>
      </c>
      <c r="C19" s="9" t="s">
        <v>112</v>
      </c>
      <c r="D19" s="10" t="s">
        <v>25</v>
      </c>
      <c r="E19" s="9" t="s">
        <v>26</v>
      </c>
      <c r="F19" s="9" t="s">
        <v>108</v>
      </c>
      <c r="G19" s="9" t="s">
        <v>113</v>
      </c>
      <c r="H19" s="9" t="s">
        <v>114</v>
      </c>
      <c r="I19" s="9" t="s">
        <v>30</v>
      </c>
      <c r="J19" s="9"/>
    </row>
    <row r="20" customFormat="false" ht="23.85" hidden="false" customHeight="false" outlineLevel="0" collapsed="false">
      <c r="A20" s="5" t="s">
        <v>115</v>
      </c>
      <c r="B20" s="6" t="s">
        <v>101</v>
      </c>
      <c r="C20" s="6" t="s">
        <v>116</v>
      </c>
      <c r="D20" s="7" t="s">
        <v>25</v>
      </c>
      <c r="E20" s="6" t="s">
        <v>33</v>
      </c>
      <c r="F20" s="6" t="s">
        <v>117</v>
      </c>
      <c r="G20" s="6" t="s">
        <v>118</v>
      </c>
      <c r="H20" s="6" t="s">
        <v>119</v>
      </c>
      <c r="I20" s="6" t="s">
        <v>30</v>
      </c>
      <c r="J20" s="6"/>
    </row>
    <row r="21" customFormat="false" ht="23.85" hidden="false" customHeight="false" outlineLevel="0" collapsed="false">
      <c r="A21" s="8" t="s">
        <v>120</v>
      </c>
      <c r="B21" s="9" t="s">
        <v>101</v>
      </c>
      <c r="C21" s="9" t="s">
        <v>121</v>
      </c>
      <c r="D21" s="12" t="s">
        <v>39</v>
      </c>
      <c r="E21" s="9" t="s">
        <v>26</v>
      </c>
      <c r="F21" s="9" t="s">
        <v>108</v>
      </c>
      <c r="G21" s="9" t="s">
        <v>122</v>
      </c>
      <c r="H21" s="9" t="s">
        <v>123</v>
      </c>
      <c r="I21" s="9" t="s">
        <v>30</v>
      </c>
      <c r="J21" s="9"/>
    </row>
    <row r="22" customFormat="false" ht="23.85" hidden="false" customHeight="false" outlineLevel="0" collapsed="false">
      <c r="A22" s="5" t="s">
        <v>124</v>
      </c>
      <c r="B22" s="6" t="s">
        <v>101</v>
      </c>
      <c r="C22" s="6" t="s">
        <v>125</v>
      </c>
      <c r="D22" s="11" t="s">
        <v>39</v>
      </c>
      <c r="E22" s="6" t="s">
        <v>26</v>
      </c>
      <c r="F22" s="6" t="s">
        <v>126</v>
      </c>
      <c r="G22" s="6" t="s">
        <v>127</v>
      </c>
      <c r="H22" s="6" t="s">
        <v>128</v>
      </c>
      <c r="I22" s="6" t="s">
        <v>30</v>
      </c>
      <c r="J22" s="6"/>
    </row>
    <row r="23" customFormat="false" ht="23.85" hidden="false" customHeight="false" outlineLevel="0" collapsed="false">
      <c r="A23" s="8" t="s">
        <v>129</v>
      </c>
      <c r="B23" s="9" t="s">
        <v>101</v>
      </c>
      <c r="C23" s="9" t="s">
        <v>130</v>
      </c>
      <c r="D23" s="12" t="s">
        <v>39</v>
      </c>
      <c r="E23" s="9" t="s">
        <v>26</v>
      </c>
      <c r="F23" s="9" t="s">
        <v>108</v>
      </c>
      <c r="G23" s="9" t="s">
        <v>131</v>
      </c>
      <c r="H23" s="9" t="s">
        <v>132</v>
      </c>
      <c r="I23" s="9" t="s">
        <v>30</v>
      </c>
      <c r="J23" s="9"/>
    </row>
    <row r="24" customFormat="false" ht="35.05" hidden="false" customHeight="false" outlineLevel="0" collapsed="false">
      <c r="A24" s="5" t="s">
        <v>133</v>
      </c>
      <c r="B24" s="6" t="s">
        <v>101</v>
      </c>
      <c r="C24" s="6" t="s">
        <v>134</v>
      </c>
      <c r="D24" s="7" t="s">
        <v>25</v>
      </c>
      <c r="E24" s="6" t="s">
        <v>26</v>
      </c>
      <c r="F24" s="6" t="s">
        <v>108</v>
      </c>
      <c r="G24" s="6" t="s">
        <v>135</v>
      </c>
      <c r="H24" s="6" t="s">
        <v>136</v>
      </c>
      <c r="I24" s="6" t="s">
        <v>30</v>
      </c>
      <c r="J24" s="6"/>
    </row>
    <row r="25" customFormat="false" ht="23.85" hidden="false" customHeight="false" outlineLevel="0" collapsed="false">
      <c r="A25" s="8" t="s">
        <v>137</v>
      </c>
      <c r="B25" s="9" t="s">
        <v>101</v>
      </c>
      <c r="C25" s="9" t="s">
        <v>138</v>
      </c>
      <c r="D25" s="12" t="s">
        <v>39</v>
      </c>
      <c r="E25" s="9" t="s">
        <v>26</v>
      </c>
      <c r="F25" s="9" t="s">
        <v>139</v>
      </c>
      <c r="G25" s="9" t="s">
        <v>140</v>
      </c>
      <c r="H25" s="9" t="s">
        <v>141</v>
      </c>
      <c r="I25" s="9" t="s">
        <v>30</v>
      </c>
      <c r="J25" s="9"/>
    </row>
    <row r="26" customFormat="false" ht="23.85" hidden="false" customHeight="false" outlineLevel="0" collapsed="false">
      <c r="A26" s="5" t="s">
        <v>142</v>
      </c>
      <c r="B26" s="6" t="s">
        <v>101</v>
      </c>
      <c r="C26" s="6" t="s">
        <v>143</v>
      </c>
      <c r="D26" s="14" t="s">
        <v>81</v>
      </c>
      <c r="E26" s="6" t="s">
        <v>26</v>
      </c>
      <c r="F26" s="6" t="s">
        <v>139</v>
      </c>
      <c r="G26" s="6" t="s">
        <v>144</v>
      </c>
      <c r="H26" s="6" t="s">
        <v>145</v>
      </c>
      <c r="I26" s="6" t="s">
        <v>30</v>
      </c>
      <c r="J26" s="6"/>
    </row>
    <row r="27" customFormat="false" ht="35.05" hidden="false" customHeight="false" outlineLevel="0" collapsed="false">
      <c r="A27" s="8" t="s">
        <v>146</v>
      </c>
      <c r="B27" s="9" t="s">
        <v>147</v>
      </c>
      <c r="C27" s="9" t="s">
        <v>148</v>
      </c>
      <c r="D27" s="10" t="s">
        <v>25</v>
      </c>
      <c r="E27" s="9" t="s">
        <v>26</v>
      </c>
      <c r="F27" s="9" t="s">
        <v>149</v>
      </c>
      <c r="G27" s="9" t="s">
        <v>150</v>
      </c>
      <c r="H27" s="9" t="s">
        <v>151</v>
      </c>
      <c r="I27" s="9" t="s">
        <v>30</v>
      </c>
      <c r="J27" s="9"/>
    </row>
    <row r="28" customFormat="false" ht="23.85" hidden="false" customHeight="false" outlineLevel="0" collapsed="false">
      <c r="A28" s="5" t="s">
        <v>152</v>
      </c>
      <c r="B28" s="6" t="s">
        <v>147</v>
      </c>
      <c r="C28" s="6" t="s">
        <v>153</v>
      </c>
      <c r="D28" s="11" t="s">
        <v>39</v>
      </c>
      <c r="E28" s="6" t="s">
        <v>26</v>
      </c>
      <c r="F28" s="6" t="s">
        <v>154</v>
      </c>
      <c r="G28" s="6" t="s">
        <v>155</v>
      </c>
      <c r="H28" s="6" t="s">
        <v>156</v>
      </c>
      <c r="I28" s="6" t="s">
        <v>30</v>
      </c>
      <c r="J28" s="6"/>
    </row>
    <row r="29" customFormat="false" ht="23.85" hidden="false" customHeight="false" outlineLevel="0" collapsed="false">
      <c r="A29" s="8" t="s">
        <v>157</v>
      </c>
      <c r="B29" s="9" t="s">
        <v>147</v>
      </c>
      <c r="C29" s="9" t="s">
        <v>158</v>
      </c>
      <c r="D29" s="10" t="s">
        <v>25</v>
      </c>
      <c r="E29" s="9" t="s">
        <v>26</v>
      </c>
      <c r="F29" s="9" t="s">
        <v>159</v>
      </c>
      <c r="G29" s="9" t="s">
        <v>160</v>
      </c>
      <c r="H29" s="9" t="s">
        <v>161</v>
      </c>
      <c r="I29" s="9" t="s">
        <v>30</v>
      </c>
      <c r="J29" s="9"/>
    </row>
    <row r="30" customFormat="false" ht="23.85" hidden="false" customHeight="false" outlineLevel="0" collapsed="false">
      <c r="A30" s="5" t="s">
        <v>162</v>
      </c>
      <c r="B30" s="6" t="s">
        <v>147</v>
      </c>
      <c r="C30" s="6" t="s">
        <v>163</v>
      </c>
      <c r="D30" s="14" t="s">
        <v>81</v>
      </c>
      <c r="E30" s="6" t="s">
        <v>93</v>
      </c>
      <c r="F30" s="6" t="s">
        <v>164</v>
      </c>
      <c r="G30" s="6" t="s">
        <v>165</v>
      </c>
      <c r="H30" s="6" t="s">
        <v>166</v>
      </c>
      <c r="I30" s="6" t="s">
        <v>30</v>
      </c>
      <c r="J30" s="6"/>
    </row>
    <row r="31" customFormat="false" ht="23.85" hidden="false" customHeight="false" outlineLevel="0" collapsed="false">
      <c r="A31" s="8" t="s">
        <v>167</v>
      </c>
      <c r="B31" s="9" t="s">
        <v>147</v>
      </c>
      <c r="C31" s="9" t="s">
        <v>168</v>
      </c>
      <c r="D31" s="12" t="s">
        <v>39</v>
      </c>
      <c r="E31" s="9" t="s">
        <v>26</v>
      </c>
      <c r="F31" s="9" t="s">
        <v>159</v>
      </c>
      <c r="G31" s="9" t="s">
        <v>169</v>
      </c>
      <c r="H31" s="9" t="s">
        <v>170</v>
      </c>
      <c r="I31" s="9" t="s">
        <v>30</v>
      </c>
      <c r="J31" s="9"/>
    </row>
    <row r="32" customFormat="false" ht="23.85" hidden="false" customHeight="false" outlineLevel="0" collapsed="false">
      <c r="A32" s="5" t="s">
        <v>171</v>
      </c>
      <c r="B32" s="6" t="s">
        <v>147</v>
      </c>
      <c r="C32" s="6" t="s">
        <v>172</v>
      </c>
      <c r="D32" s="14" t="s">
        <v>81</v>
      </c>
      <c r="E32" s="6" t="s">
        <v>93</v>
      </c>
      <c r="F32" s="6" t="s">
        <v>159</v>
      </c>
      <c r="G32" s="6" t="s">
        <v>173</v>
      </c>
      <c r="H32" s="6" t="s">
        <v>174</v>
      </c>
      <c r="I32" s="6" t="s">
        <v>30</v>
      </c>
      <c r="J32" s="6"/>
    </row>
    <row r="33" customFormat="false" ht="35.05" hidden="false" customHeight="false" outlineLevel="0" collapsed="false">
      <c r="A33" s="8" t="s">
        <v>175</v>
      </c>
      <c r="B33" s="9" t="s">
        <v>147</v>
      </c>
      <c r="C33" s="9" t="s">
        <v>176</v>
      </c>
      <c r="D33" s="10" t="s">
        <v>25</v>
      </c>
      <c r="E33" s="9" t="s">
        <v>26</v>
      </c>
      <c r="F33" s="9" t="s">
        <v>177</v>
      </c>
      <c r="G33" s="9" t="s">
        <v>178</v>
      </c>
      <c r="H33" s="9" t="s">
        <v>179</v>
      </c>
      <c r="I33" s="9" t="s">
        <v>30</v>
      </c>
      <c r="J33" s="9"/>
    </row>
    <row r="34" customFormat="false" ht="23.85" hidden="false" customHeight="false" outlineLevel="0" collapsed="false">
      <c r="A34" s="5" t="s">
        <v>180</v>
      </c>
      <c r="B34" s="6" t="s">
        <v>147</v>
      </c>
      <c r="C34" s="6" t="s">
        <v>181</v>
      </c>
      <c r="D34" s="11" t="s">
        <v>39</v>
      </c>
      <c r="E34" s="6" t="s">
        <v>26</v>
      </c>
      <c r="F34" s="6" t="s">
        <v>182</v>
      </c>
      <c r="G34" s="6" t="s">
        <v>183</v>
      </c>
      <c r="H34" s="6" t="s">
        <v>184</v>
      </c>
      <c r="I34" s="6" t="s">
        <v>30</v>
      </c>
      <c r="J34" s="6"/>
    </row>
    <row r="35" customFormat="false" ht="35.05" hidden="false" customHeight="false" outlineLevel="0" collapsed="false">
      <c r="A35" s="8" t="s">
        <v>185</v>
      </c>
      <c r="B35" s="9" t="s">
        <v>147</v>
      </c>
      <c r="C35" s="9" t="s">
        <v>186</v>
      </c>
      <c r="D35" s="10" t="s">
        <v>25</v>
      </c>
      <c r="E35" s="9" t="s">
        <v>26</v>
      </c>
      <c r="F35" s="9" t="s">
        <v>187</v>
      </c>
      <c r="G35" s="9" t="s">
        <v>188</v>
      </c>
      <c r="H35" s="9" t="s">
        <v>189</v>
      </c>
      <c r="I35" s="9" t="s">
        <v>30</v>
      </c>
      <c r="J35" s="9"/>
    </row>
    <row r="36" customFormat="false" ht="23.85" hidden="false" customHeight="false" outlineLevel="0" collapsed="false">
      <c r="A36" s="5" t="s">
        <v>190</v>
      </c>
      <c r="B36" s="6" t="s">
        <v>191</v>
      </c>
      <c r="C36" s="6" t="s">
        <v>192</v>
      </c>
      <c r="D36" s="7" t="s">
        <v>25</v>
      </c>
      <c r="E36" s="6" t="s">
        <v>26</v>
      </c>
      <c r="F36" s="6" t="s">
        <v>193</v>
      </c>
      <c r="G36" s="6" t="s">
        <v>194</v>
      </c>
      <c r="H36" s="6" t="s">
        <v>195</v>
      </c>
      <c r="I36" s="6" t="s">
        <v>30</v>
      </c>
      <c r="J36" s="6"/>
    </row>
    <row r="37" customFormat="false" ht="23.85" hidden="false" customHeight="false" outlineLevel="0" collapsed="false">
      <c r="A37" s="8" t="s">
        <v>196</v>
      </c>
      <c r="B37" s="9" t="s">
        <v>191</v>
      </c>
      <c r="C37" s="9" t="s">
        <v>197</v>
      </c>
      <c r="D37" s="12" t="s">
        <v>39</v>
      </c>
      <c r="E37" s="9" t="s">
        <v>26</v>
      </c>
      <c r="F37" s="9" t="s">
        <v>198</v>
      </c>
      <c r="G37" s="9" t="s">
        <v>199</v>
      </c>
      <c r="H37" s="9" t="s">
        <v>200</v>
      </c>
      <c r="I37" s="9" t="s">
        <v>30</v>
      </c>
      <c r="J37" s="9"/>
    </row>
    <row r="38" customFormat="false" ht="23.85" hidden="false" customHeight="false" outlineLevel="0" collapsed="false">
      <c r="A38" s="5" t="s">
        <v>201</v>
      </c>
      <c r="B38" s="6" t="s">
        <v>191</v>
      </c>
      <c r="C38" s="6" t="s">
        <v>202</v>
      </c>
      <c r="D38" s="11" t="s">
        <v>39</v>
      </c>
      <c r="E38" s="6" t="s">
        <v>26</v>
      </c>
      <c r="F38" s="6" t="s">
        <v>203</v>
      </c>
      <c r="G38" s="6" t="s">
        <v>204</v>
      </c>
      <c r="H38" s="6" t="s">
        <v>205</v>
      </c>
      <c r="I38" s="6" t="s">
        <v>30</v>
      </c>
      <c r="J38" s="6"/>
    </row>
    <row r="39" customFormat="false" ht="23.85" hidden="false" customHeight="false" outlineLevel="0" collapsed="false">
      <c r="A39" s="8" t="s">
        <v>206</v>
      </c>
      <c r="B39" s="9" t="s">
        <v>191</v>
      </c>
      <c r="C39" s="9" t="s">
        <v>207</v>
      </c>
      <c r="D39" s="10" t="s">
        <v>25</v>
      </c>
      <c r="E39" s="9" t="s">
        <v>26</v>
      </c>
      <c r="F39" s="9" t="s">
        <v>208</v>
      </c>
      <c r="G39" s="9" t="s">
        <v>209</v>
      </c>
      <c r="H39" s="9" t="s">
        <v>210</v>
      </c>
      <c r="I39" s="9" t="s">
        <v>30</v>
      </c>
      <c r="J39" s="9"/>
    </row>
    <row r="40" customFormat="false" ht="23.85" hidden="false" customHeight="false" outlineLevel="0" collapsed="false">
      <c r="A40" s="5" t="s">
        <v>211</v>
      </c>
      <c r="B40" s="6" t="s">
        <v>212</v>
      </c>
      <c r="C40" s="6" t="s">
        <v>213</v>
      </c>
      <c r="D40" s="11" t="s">
        <v>39</v>
      </c>
      <c r="E40" s="6" t="s">
        <v>26</v>
      </c>
      <c r="F40" s="6" t="s">
        <v>214</v>
      </c>
      <c r="G40" s="6" t="s">
        <v>215</v>
      </c>
      <c r="H40" s="6" t="s">
        <v>216</v>
      </c>
      <c r="I40" s="6" t="s">
        <v>30</v>
      </c>
      <c r="J40" s="6"/>
    </row>
    <row r="41" customFormat="false" ht="23.85" hidden="false" customHeight="false" outlineLevel="0" collapsed="false">
      <c r="A41" s="8" t="s">
        <v>217</v>
      </c>
      <c r="B41" s="9" t="s">
        <v>212</v>
      </c>
      <c r="C41" s="9" t="s">
        <v>218</v>
      </c>
      <c r="D41" s="12" t="s">
        <v>39</v>
      </c>
      <c r="E41" s="9" t="s">
        <v>26</v>
      </c>
      <c r="F41" s="9" t="s">
        <v>219</v>
      </c>
      <c r="G41" s="9" t="s">
        <v>220</v>
      </c>
      <c r="H41" s="9" t="s">
        <v>221</v>
      </c>
      <c r="I41" s="9" t="s">
        <v>30</v>
      </c>
      <c r="J41" s="9"/>
    </row>
    <row r="42" customFormat="false" ht="23.85" hidden="false" customHeight="false" outlineLevel="0" collapsed="false">
      <c r="A42" s="5" t="s">
        <v>222</v>
      </c>
      <c r="B42" s="6" t="s">
        <v>223</v>
      </c>
      <c r="C42" s="6" t="s">
        <v>224</v>
      </c>
      <c r="D42" s="7" t="s">
        <v>25</v>
      </c>
      <c r="E42" s="6" t="s">
        <v>26</v>
      </c>
      <c r="F42" s="6" t="s">
        <v>225</v>
      </c>
      <c r="G42" s="6" t="s">
        <v>226</v>
      </c>
      <c r="H42" s="6" t="s">
        <v>227</v>
      </c>
      <c r="I42" s="6" t="s">
        <v>30</v>
      </c>
      <c r="J42" s="6"/>
    </row>
    <row r="43" customFormat="false" ht="23.85" hidden="false" customHeight="false" outlineLevel="0" collapsed="false">
      <c r="A43" s="8" t="s">
        <v>228</v>
      </c>
      <c r="B43" s="9" t="s">
        <v>223</v>
      </c>
      <c r="C43" s="9" t="s">
        <v>229</v>
      </c>
      <c r="D43" s="10" t="s">
        <v>25</v>
      </c>
      <c r="E43" s="9" t="s">
        <v>26</v>
      </c>
      <c r="F43" s="9" t="s">
        <v>230</v>
      </c>
      <c r="G43" s="9" t="s">
        <v>231</v>
      </c>
      <c r="H43" s="9" t="s">
        <v>232</v>
      </c>
      <c r="I43" s="9" t="s">
        <v>30</v>
      </c>
      <c r="J43" s="9"/>
    </row>
    <row r="44" customFormat="false" ht="23.85" hidden="false" customHeight="false" outlineLevel="0" collapsed="false">
      <c r="A44" s="5" t="s">
        <v>233</v>
      </c>
      <c r="B44" s="6" t="s">
        <v>223</v>
      </c>
      <c r="C44" s="6" t="s">
        <v>234</v>
      </c>
      <c r="D44" s="7" t="s">
        <v>25</v>
      </c>
      <c r="E44" s="6" t="s">
        <v>235</v>
      </c>
      <c r="F44" s="6" t="s">
        <v>236</v>
      </c>
      <c r="G44" s="6" t="s">
        <v>237</v>
      </c>
      <c r="H44" s="6" t="s">
        <v>238</v>
      </c>
      <c r="I44" s="6" t="s">
        <v>30</v>
      </c>
      <c r="J44" s="6"/>
    </row>
    <row r="45" customFormat="false" ht="35.05" hidden="false" customHeight="false" outlineLevel="0" collapsed="false">
      <c r="A45" s="8" t="s">
        <v>239</v>
      </c>
      <c r="B45" s="9" t="s">
        <v>240</v>
      </c>
      <c r="C45" s="9" t="s">
        <v>241</v>
      </c>
      <c r="D45" s="10" t="s">
        <v>25</v>
      </c>
      <c r="E45" s="9" t="s">
        <v>26</v>
      </c>
      <c r="F45" s="9" t="s">
        <v>242</v>
      </c>
      <c r="G45" s="9" t="s">
        <v>243</v>
      </c>
      <c r="H45" s="9" t="s">
        <v>244</v>
      </c>
      <c r="I45" s="9" t="s">
        <v>30</v>
      </c>
      <c r="J45" s="9"/>
    </row>
    <row r="46" customFormat="false" ht="23.85" hidden="false" customHeight="false" outlineLevel="0" collapsed="false">
      <c r="A46" s="5" t="s">
        <v>245</v>
      </c>
      <c r="B46" s="6" t="s">
        <v>240</v>
      </c>
      <c r="C46" s="6" t="s">
        <v>246</v>
      </c>
      <c r="D46" s="11" t="s">
        <v>39</v>
      </c>
      <c r="E46" s="6" t="s">
        <v>33</v>
      </c>
      <c r="F46" s="6" t="s">
        <v>247</v>
      </c>
      <c r="G46" s="6" t="s">
        <v>248</v>
      </c>
      <c r="H46" s="6" t="s">
        <v>249</v>
      </c>
      <c r="I46" s="6" t="s">
        <v>30</v>
      </c>
      <c r="J46" s="6"/>
    </row>
    <row r="47" customFormat="false" ht="23.85" hidden="false" customHeight="false" outlineLevel="0" collapsed="false">
      <c r="A47" s="8" t="s">
        <v>250</v>
      </c>
      <c r="B47" s="9" t="s">
        <v>235</v>
      </c>
      <c r="C47" s="9" t="s">
        <v>251</v>
      </c>
      <c r="D47" s="10" t="s">
        <v>25</v>
      </c>
      <c r="E47" s="9" t="s">
        <v>235</v>
      </c>
      <c r="F47" s="9" t="s">
        <v>252</v>
      </c>
      <c r="G47" s="9" t="s">
        <v>253</v>
      </c>
      <c r="H47" s="9" t="s">
        <v>254</v>
      </c>
      <c r="I47" s="9" t="s">
        <v>30</v>
      </c>
      <c r="J47" s="9"/>
    </row>
    <row r="48" customFormat="false" ht="35.05" hidden="false" customHeight="false" outlineLevel="0" collapsed="false">
      <c r="A48" s="5" t="s">
        <v>255</v>
      </c>
      <c r="B48" s="6" t="s">
        <v>235</v>
      </c>
      <c r="C48" s="6" t="s">
        <v>256</v>
      </c>
      <c r="D48" s="7" t="s">
        <v>25</v>
      </c>
      <c r="E48" s="6" t="s">
        <v>235</v>
      </c>
      <c r="F48" s="6" t="s">
        <v>257</v>
      </c>
      <c r="G48" s="6" t="s">
        <v>258</v>
      </c>
      <c r="H48" s="6" t="s">
        <v>259</v>
      </c>
      <c r="I48" s="6" t="s">
        <v>30</v>
      </c>
      <c r="J48" s="6"/>
    </row>
    <row r="49" customFormat="false" ht="23.85" hidden="false" customHeight="false" outlineLevel="0" collapsed="false">
      <c r="A49" s="8" t="s">
        <v>260</v>
      </c>
      <c r="B49" s="9" t="s">
        <v>235</v>
      </c>
      <c r="C49" s="9" t="s">
        <v>261</v>
      </c>
      <c r="D49" s="12" t="s">
        <v>39</v>
      </c>
      <c r="E49" s="9" t="s">
        <v>235</v>
      </c>
      <c r="F49" s="9" t="s">
        <v>262</v>
      </c>
      <c r="G49" s="9" t="s">
        <v>263</v>
      </c>
      <c r="H49" s="9" t="s">
        <v>264</v>
      </c>
      <c r="I49" s="9" t="s">
        <v>30</v>
      </c>
      <c r="J49" s="9"/>
    </row>
    <row r="50" customFormat="false" ht="23.85" hidden="false" customHeight="false" outlineLevel="0" collapsed="false">
      <c r="A50" s="5" t="s">
        <v>265</v>
      </c>
      <c r="B50" s="6" t="s">
        <v>235</v>
      </c>
      <c r="C50" s="6" t="s">
        <v>266</v>
      </c>
      <c r="D50" s="11" t="s">
        <v>39</v>
      </c>
      <c r="E50" s="6" t="s">
        <v>235</v>
      </c>
      <c r="F50" s="6" t="s">
        <v>262</v>
      </c>
      <c r="G50" s="6" t="s">
        <v>267</v>
      </c>
      <c r="H50" s="6" t="s">
        <v>268</v>
      </c>
      <c r="I50" s="6" t="s">
        <v>30</v>
      </c>
      <c r="J50" s="6"/>
    </row>
    <row r="51" customFormat="false" ht="35.05" hidden="false" customHeight="false" outlineLevel="0" collapsed="false">
      <c r="A51" s="8" t="s">
        <v>269</v>
      </c>
      <c r="B51" s="9" t="s">
        <v>235</v>
      </c>
      <c r="C51" s="9" t="s">
        <v>270</v>
      </c>
      <c r="D51" s="10" t="s">
        <v>25</v>
      </c>
      <c r="E51" s="9" t="s">
        <v>235</v>
      </c>
      <c r="F51" s="9" t="s">
        <v>271</v>
      </c>
      <c r="G51" s="9" t="s">
        <v>272</v>
      </c>
      <c r="H51" s="9" t="s">
        <v>273</v>
      </c>
      <c r="I51" s="9" t="s">
        <v>30</v>
      </c>
      <c r="J51" s="9"/>
    </row>
    <row r="52" customFormat="false" ht="23.85" hidden="false" customHeight="false" outlineLevel="0" collapsed="false">
      <c r="A52" s="5" t="s">
        <v>274</v>
      </c>
      <c r="B52" s="6" t="s">
        <v>93</v>
      </c>
      <c r="C52" s="6" t="s">
        <v>275</v>
      </c>
      <c r="D52" s="11" t="s">
        <v>39</v>
      </c>
      <c r="E52" s="6" t="s">
        <v>93</v>
      </c>
      <c r="F52" s="6" t="s">
        <v>276</v>
      </c>
      <c r="G52" s="6" t="s">
        <v>277</v>
      </c>
      <c r="H52" s="6" t="s">
        <v>278</v>
      </c>
      <c r="I52" s="6" t="s">
        <v>30</v>
      </c>
      <c r="J52" s="6"/>
    </row>
    <row r="53" customFormat="false" ht="35.05" hidden="false" customHeight="false" outlineLevel="0" collapsed="false">
      <c r="A53" s="8" t="s">
        <v>279</v>
      </c>
      <c r="B53" s="9" t="s">
        <v>93</v>
      </c>
      <c r="C53" s="9" t="s">
        <v>280</v>
      </c>
      <c r="D53" s="13" t="s">
        <v>81</v>
      </c>
      <c r="E53" s="9" t="s">
        <v>93</v>
      </c>
      <c r="F53" s="9" t="s">
        <v>281</v>
      </c>
      <c r="G53" s="9" t="s">
        <v>282</v>
      </c>
      <c r="H53" s="9" t="s">
        <v>283</v>
      </c>
      <c r="I53" s="9" t="s">
        <v>30</v>
      </c>
      <c r="J53" s="9"/>
    </row>
    <row r="54" customFormat="false" ht="23.85" hidden="false" customHeight="false" outlineLevel="0" collapsed="false">
      <c r="A54" s="5" t="s">
        <v>284</v>
      </c>
      <c r="B54" s="6" t="s">
        <v>93</v>
      </c>
      <c r="C54" s="6" t="s">
        <v>285</v>
      </c>
      <c r="D54" s="14" t="s">
        <v>81</v>
      </c>
      <c r="E54" s="6" t="s">
        <v>93</v>
      </c>
      <c r="F54" s="6" t="s">
        <v>286</v>
      </c>
      <c r="G54" s="6" t="s">
        <v>287</v>
      </c>
      <c r="H54" s="6" t="s">
        <v>288</v>
      </c>
      <c r="I54" s="6" t="s">
        <v>30</v>
      </c>
      <c r="J54" s="6"/>
    </row>
  </sheetData>
  <autoFilter ref="A1:J54"/>
  <dataValidations count="1">
    <dataValidation allowBlank="true" errorStyle="stop" operator="between" showDropDown="false" showErrorMessage="false" showInputMessage="false" sqref="I2:I54" type="list">
      <formula1>"Not Run,Pass,Fail,Blocked,Skipped"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11"/>
  </cols>
  <sheetData>
    <row r="1" customFormat="false" ht="17.35" hidden="false" customHeight="false" outlineLevel="0" collapsed="false">
      <c r="A1" s="15" t="s">
        <v>289</v>
      </c>
    </row>
    <row r="2" customFormat="false" ht="15" hidden="false" customHeight="false" outlineLevel="0" collapsed="false">
      <c r="A2" s="16" t="s">
        <v>290</v>
      </c>
    </row>
    <row r="4" customFormat="false" ht="15" hidden="false" customHeight="false" outlineLevel="0" collapsed="false">
      <c r="A4" s="17" t="s">
        <v>291</v>
      </c>
      <c r="B4" s="17" t="s">
        <v>292</v>
      </c>
    </row>
    <row r="5" customFormat="false" ht="15" hidden="false" customHeight="false" outlineLevel="0" collapsed="false">
      <c r="A5" s="18" t="s">
        <v>293</v>
      </c>
      <c r="B5" s="18" t="n">
        <f aca="false">COUNTA('Test Cases'!A2:A54)</f>
        <v>53</v>
      </c>
    </row>
    <row r="6" customFormat="false" ht="15" hidden="false" customHeight="false" outlineLevel="0" collapsed="false">
      <c r="A6" s="18" t="s">
        <v>294</v>
      </c>
      <c r="B6" s="18" t="n">
        <f aca="false">COUNTIF('Test Cases'!I2:I54,"Pass")</f>
        <v>0</v>
      </c>
    </row>
    <row r="7" customFormat="false" ht="15" hidden="false" customHeight="false" outlineLevel="0" collapsed="false">
      <c r="A7" s="18" t="s">
        <v>295</v>
      </c>
      <c r="B7" s="18" t="n">
        <f aca="false">COUNTIF('Test Cases'!I2:I54,"Fail")</f>
        <v>0</v>
      </c>
    </row>
    <row r="8" customFormat="false" ht="15" hidden="false" customHeight="false" outlineLevel="0" collapsed="false">
      <c r="A8" s="18" t="s">
        <v>296</v>
      </c>
      <c r="B8" s="18" t="n">
        <f aca="false">COUNTIF('Test Cases'!I2:I54,"Blocked")</f>
        <v>0</v>
      </c>
    </row>
    <row r="9" customFormat="false" ht="15" hidden="false" customHeight="false" outlineLevel="0" collapsed="false">
      <c r="A9" s="18" t="s">
        <v>297</v>
      </c>
      <c r="B9" s="18" t="n">
        <f aca="false">COUNTIF('Test Cases'!I2:I54,"Skipped")</f>
        <v>0</v>
      </c>
    </row>
    <row r="10" customFormat="false" ht="15" hidden="false" customHeight="false" outlineLevel="0" collapsed="false">
      <c r="A10" s="18" t="s">
        <v>298</v>
      </c>
      <c r="B10" s="18" t="n">
        <f aca="false">COUNTIF('Test Cases'!I2:I54,"Not Run")</f>
        <v>53</v>
      </c>
    </row>
    <row r="11" customFormat="false" ht="15" hidden="false" customHeight="false" outlineLevel="0" collapsed="false">
      <c r="A11" s="18" t="s">
        <v>299</v>
      </c>
      <c r="B11" s="18" t="n">
        <f aca="false">B6+B7+B8</f>
        <v>0</v>
      </c>
    </row>
    <row r="12" customFormat="false" ht="15" hidden="false" customHeight="false" outlineLevel="0" collapsed="false">
      <c r="A12" s="18" t="s">
        <v>300</v>
      </c>
      <c r="B12" s="19" t="str">
        <f aca="false">IF(B6+B7=0,"-",B6/(B6+B7))</f>
        <v>-</v>
      </c>
    </row>
    <row r="14" customFormat="false" ht="15" hidden="false" customHeight="false" outlineLevel="0" collapsed="false">
      <c r="A14" s="3" t="s">
        <v>301</v>
      </c>
    </row>
    <row r="15" customFormat="false" ht="15" hidden="false" customHeight="false" outlineLevel="0" collapsed="false">
      <c r="A15" s="17" t="s">
        <v>13</v>
      </c>
      <c r="B15" s="17" t="s">
        <v>302</v>
      </c>
      <c r="C15" s="17" t="s">
        <v>303</v>
      </c>
      <c r="D15" s="17" t="s">
        <v>304</v>
      </c>
      <c r="E15" s="17" t="s">
        <v>296</v>
      </c>
      <c r="F15" s="17" t="s">
        <v>297</v>
      </c>
      <c r="G15" s="17" t="s">
        <v>30</v>
      </c>
    </row>
    <row r="16" customFormat="false" ht="15" hidden="false" customHeight="false" outlineLevel="0" collapsed="false">
      <c r="A16" s="18" t="s">
        <v>23</v>
      </c>
      <c r="B16" s="18" t="n">
        <f aca="false">COUNTIF('Test Cases'!B2:B54,A16)</f>
        <v>12</v>
      </c>
      <c r="C16" s="18" t="n">
        <f aca="false">COUNTIFS('Test Cases'!B2:B54,A16,'Test Cases'!I2:I54,"Pass")</f>
        <v>0</v>
      </c>
      <c r="D16" s="18" t="n">
        <f aca="false">COUNTIFS('Test Cases'!B2:B54,A16,'Test Cases'!I2:I54,"Fail")</f>
        <v>0</v>
      </c>
      <c r="E16" s="18" t="n">
        <f aca="false">COUNTIFS('Test Cases'!B2:B54,A16,'Test Cases'!I2:I54,"Blocked")</f>
        <v>0</v>
      </c>
      <c r="F16" s="18" t="n">
        <f aca="false">COUNTIFS('Test Cases'!B2:B54,A16,'Test Cases'!I2:I54,"Skipped")</f>
        <v>0</v>
      </c>
      <c r="G16" s="18" t="n">
        <f aca="false">COUNTIFS('Test Cases'!B2:B54,A16,'Test Cases'!I2:I54,"Not Run")</f>
        <v>12</v>
      </c>
    </row>
    <row r="17" customFormat="false" ht="15" hidden="false" customHeight="false" outlineLevel="0" collapsed="false">
      <c r="A17" s="18" t="s">
        <v>86</v>
      </c>
      <c r="B17" s="18" t="n">
        <f aca="false">COUNTIF('Test Cases'!B2:B54,A17)</f>
        <v>3</v>
      </c>
      <c r="C17" s="18" t="n">
        <f aca="false">COUNTIFS('Test Cases'!B2:B54,A17,'Test Cases'!I2:I54,"Pass")</f>
        <v>0</v>
      </c>
      <c r="D17" s="18" t="n">
        <f aca="false">COUNTIFS('Test Cases'!B2:B54,A17,'Test Cases'!I2:I54,"Fail")</f>
        <v>0</v>
      </c>
      <c r="E17" s="18" t="n">
        <f aca="false">COUNTIFS('Test Cases'!B2:B54,A17,'Test Cases'!I2:I54,"Blocked")</f>
        <v>0</v>
      </c>
      <c r="F17" s="18" t="n">
        <f aca="false">COUNTIFS('Test Cases'!B2:B54,A17,'Test Cases'!I2:I54,"Skipped")</f>
        <v>0</v>
      </c>
      <c r="G17" s="18" t="n">
        <f aca="false">COUNTIFS('Test Cases'!B2:B54,A17,'Test Cases'!I2:I54,"Not Run")</f>
        <v>3</v>
      </c>
    </row>
    <row r="18" customFormat="false" ht="15" hidden="false" customHeight="false" outlineLevel="0" collapsed="false">
      <c r="A18" s="18" t="s">
        <v>101</v>
      </c>
      <c r="B18" s="18" t="n">
        <f aca="false">COUNTIF('Test Cases'!B2:B54,A18)</f>
        <v>10</v>
      </c>
      <c r="C18" s="18" t="n">
        <f aca="false">COUNTIFS('Test Cases'!B2:B54,A18,'Test Cases'!I2:I54,"Pass")</f>
        <v>0</v>
      </c>
      <c r="D18" s="18" t="n">
        <f aca="false">COUNTIFS('Test Cases'!B2:B54,A18,'Test Cases'!I2:I54,"Fail")</f>
        <v>0</v>
      </c>
      <c r="E18" s="18" t="n">
        <f aca="false">COUNTIFS('Test Cases'!B2:B54,A18,'Test Cases'!I2:I54,"Blocked")</f>
        <v>0</v>
      </c>
      <c r="F18" s="18" t="n">
        <f aca="false">COUNTIFS('Test Cases'!B2:B54,A18,'Test Cases'!I2:I54,"Skipped")</f>
        <v>0</v>
      </c>
      <c r="G18" s="18" t="n">
        <f aca="false">COUNTIFS('Test Cases'!B2:B54,A18,'Test Cases'!I2:I54,"Not Run")</f>
        <v>10</v>
      </c>
    </row>
    <row r="19" customFormat="false" ht="15" hidden="false" customHeight="false" outlineLevel="0" collapsed="false">
      <c r="A19" s="18" t="s">
        <v>147</v>
      </c>
      <c r="B19" s="18" t="n">
        <f aca="false">COUNTIF('Test Cases'!B2:B54,A19)</f>
        <v>9</v>
      </c>
      <c r="C19" s="18" t="n">
        <f aca="false">COUNTIFS('Test Cases'!B2:B54,A19,'Test Cases'!I2:I54,"Pass")</f>
        <v>0</v>
      </c>
      <c r="D19" s="18" t="n">
        <f aca="false">COUNTIFS('Test Cases'!B2:B54,A19,'Test Cases'!I2:I54,"Fail")</f>
        <v>0</v>
      </c>
      <c r="E19" s="18" t="n">
        <f aca="false">COUNTIFS('Test Cases'!B2:B54,A19,'Test Cases'!I2:I54,"Blocked")</f>
        <v>0</v>
      </c>
      <c r="F19" s="18" t="n">
        <f aca="false">COUNTIFS('Test Cases'!B2:B54,A19,'Test Cases'!I2:I54,"Skipped")</f>
        <v>0</v>
      </c>
      <c r="G19" s="18" t="n">
        <f aca="false">COUNTIFS('Test Cases'!B2:B54,A19,'Test Cases'!I2:I54,"Not Run")</f>
        <v>9</v>
      </c>
    </row>
    <row r="20" customFormat="false" ht="15" hidden="false" customHeight="false" outlineLevel="0" collapsed="false">
      <c r="A20" s="18" t="s">
        <v>191</v>
      </c>
      <c r="B20" s="18" t="n">
        <f aca="false">COUNTIF('Test Cases'!B2:B54,A20)</f>
        <v>4</v>
      </c>
      <c r="C20" s="18" t="n">
        <f aca="false">COUNTIFS('Test Cases'!B2:B54,A20,'Test Cases'!I2:I54,"Pass")</f>
        <v>0</v>
      </c>
      <c r="D20" s="18" t="n">
        <f aca="false">COUNTIFS('Test Cases'!B2:B54,A20,'Test Cases'!I2:I54,"Fail")</f>
        <v>0</v>
      </c>
      <c r="E20" s="18" t="n">
        <f aca="false">COUNTIFS('Test Cases'!B2:B54,A20,'Test Cases'!I2:I54,"Blocked")</f>
        <v>0</v>
      </c>
      <c r="F20" s="18" t="n">
        <f aca="false">COUNTIFS('Test Cases'!B2:B54,A20,'Test Cases'!I2:I54,"Skipped")</f>
        <v>0</v>
      </c>
      <c r="G20" s="18" t="n">
        <f aca="false">COUNTIFS('Test Cases'!B2:B54,A20,'Test Cases'!I2:I54,"Not Run")</f>
        <v>4</v>
      </c>
    </row>
    <row r="21" customFormat="false" ht="15" hidden="false" customHeight="false" outlineLevel="0" collapsed="false">
      <c r="A21" s="18" t="s">
        <v>212</v>
      </c>
      <c r="B21" s="18" t="n">
        <f aca="false">COUNTIF('Test Cases'!B2:B54,A21)</f>
        <v>2</v>
      </c>
      <c r="C21" s="18" t="n">
        <f aca="false">COUNTIFS('Test Cases'!B2:B54,A21,'Test Cases'!I2:I54,"Pass")</f>
        <v>0</v>
      </c>
      <c r="D21" s="18" t="n">
        <f aca="false">COUNTIFS('Test Cases'!B2:B54,A21,'Test Cases'!I2:I54,"Fail")</f>
        <v>0</v>
      </c>
      <c r="E21" s="18" t="n">
        <f aca="false">COUNTIFS('Test Cases'!B2:B54,A21,'Test Cases'!I2:I54,"Blocked")</f>
        <v>0</v>
      </c>
      <c r="F21" s="18" t="n">
        <f aca="false">COUNTIFS('Test Cases'!B2:B54,A21,'Test Cases'!I2:I54,"Skipped")</f>
        <v>0</v>
      </c>
      <c r="G21" s="18" t="n">
        <f aca="false">COUNTIFS('Test Cases'!B2:B54,A21,'Test Cases'!I2:I54,"Not Run")</f>
        <v>2</v>
      </c>
    </row>
    <row r="22" customFormat="false" ht="15" hidden="false" customHeight="false" outlineLevel="0" collapsed="false">
      <c r="A22" s="18" t="s">
        <v>223</v>
      </c>
      <c r="B22" s="18" t="n">
        <f aca="false">COUNTIF('Test Cases'!B2:B54,A22)</f>
        <v>3</v>
      </c>
      <c r="C22" s="18" t="n">
        <f aca="false">COUNTIFS('Test Cases'!B2:B54,A22,'Test Cases'!I2:I54,"Pass")</f>
        <v>0</v>
      </c>
      <c r="D22" s="18" t="n">
        <f aca="false">COUNTIFS('Test Cases'!B2:B54,A22,'Test Cases'!I2:I54,"Fail")</f>
        <v>0</v>
      </c>
      <c r="E22" s="18" t="n">
        <f aca="false">COUNTIFS('Test Cases'!B2:B54,A22,'Test Cases'!I2:I54,"Blocked")</f>
        <v>0</v>
      </c>
      <c r="F22" s="18" t="n">
        <f aca="false">COUNTIFS('Test Cases'!B2:B54,A22,'Test Cases'!I2:I54,"Skipped")</f>
        <v>0</v>
      </c>
      <c r="G22" s="18" t="n">
        <f aca="false">COUNTIFS('Test Cases'!B2:B54,A22,'Test Cases'!I2:I54,"Not Run")</f>
        <v>3</v>
      </c>
    </row>
    <row r="23" customFormat="false" ht="15" hidden="false" customHeight="false" outlineLevel="0" collapsed="false">
      <c r="A23" s="18" t="s">
        <v>240</v>
      </c>
      <c r="B23" s="18" t="n">
        <f aca="false">COUNTIF('Test Cases'!B2:B54,A23)</f>
        <v>2</v>
      </c>
      <c r="C23" s="18" t="n">
        <f aca="false">COUNTIFS('Test Cases'!B2:B54,A23,'Test Cases'!I2:I54,"Pass")</f>
        <v>0</v>
      </c>
      <c r="D23" s="18" t="n">
        <f aca="false">COUNTIFS('Test Cases'!B2:B54,A23,'Test Cases'!I2:I54,"Fail")</f>
        <v>0</v>
      </c>
      <c r="E23" s="18" t="n">
        <f aca="false">COUNTIFS('Test Cases'!B2:B54,A23,'Test Cases'!I2:I54,"Blocked")</f>
        <v>0</v>
      </c>
      <c r="F23" s="18" t="n">
        <f aca="false">COUNTIFS('Test Cases'!B2:B54,A23,'Test Cases'!I2:I54,"Skipped")</f>
        <v>0</v>
      </c>
      <c r="G23" s="18" t="n">
        <f aca="false">COUNTIFS('Test Cases'!B2:B54,A23,'Test Cases'!I2:I54,"Not Run")</f>
        <v>2</v>
      </c>
    </row>
    <row r="24" customFormat="false" ht="15" hidden="false" customHeight="false" outlineLevel="0" collapsed="false">
      <c r="A24" s="18" t="s">
        <v>235</v>
      </c>
      <c r="B24" s="18" t="n">
        <f aca="false">COUNTIF('Test Cases'!B2:B54,A24)</f>
        <v>5</v>
      </c>
      <c r="C24" s="18" t="n">
        <f aca="false">COUNTIFS('Test Cases'!B2:B54,A24,'Test Cases'!I2:I54,"Pass")</f>
        <v>0</v>
      </c>
      <c r="D24" s="18" t="n">
        <f aca="false">COUNTIFS('Test Cases'!B2:B54,A24,'Test Cases'!I2:I54,"Fail")</f>
        <v>0</v>
      </c>
      <c r="E24" s="18" t="n">
        <f aca="false">COUNTIFS('Test Cases'!B2:B54,A24,'Test Cases'!I2:I54,"Blocked")</f>
        <v>0</v>
      </c>
      <c r="F24" s="18" t="n">
        <f aca="false">COUNTIFS('Test Cases'!B2:B54,A24,'Test Cases'!I2:I54,"Skipped")</f>
        <v>0</v>
      </c>
      <c r="G24" s="18" t="n">
        <f aca="false">COUNTIFS('Test Cases'!B2:B54,A24,'Test Cases'!I2:I54,"Not Run")</f>
        <v>5</v>
      </c>
    </row>
    <row r="25" customFormat="false" ht="15" hidden="false" customHeight="false" outlineLevel="0" collapsed="false">
      <c r="A25" s="18" t="s">
        <v>93</v>
      </c>
      <c r="B25" s="18" t="n">
        <f aca="false">COUNTIF('Test Cases'!B2:B54,A25)</f>
        <v>3</v>
      </c>
      <c r="C25" s="18" t="n">
        <f aca="false">COUNTIFS('Test Cases'!B2:B54,A25,'Test Cases'!I2:I54,"Pass")</f>
        <v>0</v>
      </c>
      <c r="D25" s="18" t="n">
        <f aca="false">COUNTIFS('Test Cases'!B2:B54,A25,'Test Cases'!I2:I54,"Fail")</f>
        <v>0</v>
      </c>
      <c r="E25" s="18" t="n">
        <f aca="false">COUNTIFS('Test Cases'!B2:B54,A25,'Test Cases'!I2:I54,"Blocked")</f>
        <v>0</v>
      </c>
      <c r="F25" s="18" t="n">
        <f aca="false">COUNTIFS('Test Cases'!B2:B54,A25,'Test Cases'!I2:I54,"Skipped")</f>
        <v>0</v>
      </c>
      <c r="G25" s="18" t="n">
        <f aca="false">COUNTIFS('Test Cases'!B2:B54,A25,'Test Cases'!I2:I54,"Not Run")</f>
        <v>3</v>
      </c>
    </row>
    <row r="27" customFormat="false" ht="15" hidden="false" customHeight="false" outlineLevel="0" collapsed="false">
      <c r="A27" s="3" t="s">
        <v>305</v>
      </c>
    </row>
    <row r="28" customFormat="false" ht="15" hidden="false" customHeight="false" outlineLevel="0" collapsed="false">
      <c r="A28" s="17" t="s">
        <v>15</v>
      </c>
      <c r="B28" s="17" t="s">
        <v>302</v>
      </c>
    </row>
    <row r="29" customFormat="false" ht="15" hidden="false" customHeight="false" outlineLevel="0" collapsed="false">
      <c r="A29" s="18" t="s">
        <v>25</v>
      </c>
      <c r="B29" s="18" t="n">
        <f aca="false">COUNTIF('Test Cases'!D2:D54,A29)</f>
        <v>27</v>
      </c>
    </row>
    <row r="30" customFormat="false" ht="15" hidden="false" customHeight="false" outlineLevel="0" collapsed="false">
      <c r="A30" s="18" t="s">
        <v>39</v>
      </c>
      <c r="B30" s="18" t="n">
        <f aca="false">COUNTIF('Test Cases'!D2:D54,A30)</f>
        <v>19</v>
      </c>
    </row>
    <row r="31" customFormat="false" ht="15" hidden="false" customHeight="false" outlineLevel="0" collapsed="false">
      <c r="A31" s="18" t="s">
        <v>81</v>
      </c>
      <c r="B31" s="18" t="n">
        <f aca="false">COUNTIF('Test Cases'!D2:D54,A31)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2026-07-03T04:57:27Z</dcterms:created>
  <dc:creator>openpyxl</dc:creator>
  <dc:description/>
  <dc:language>en-US</dc:language>
  <cp:lastModifiedBy/>
  <dcterms:modified xsi:type="dcterms:W3CDTF">2026-07-03T04:57:27Z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